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DB44508-1095-4B4B-BE57-94D33AF9F36E}" xr6:coauthVersionLast="47" xr6:coauthVersionMax="47" xr10:uidLastSave="{00000000-0000-0000-0000-000000000000}"/>
  <bookViews>
    <workbookView xWindow="-120" yWindow="-120" windowWidth="20730" windowHeight="11760" xr2:uid="{C9BFACCB-A4CD-40E7-9E2B-856F80634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" i="1" l="1"/>
  <c r="H20" i="1"/>
</calcChain>
</file>

<file path=xl/sharedStrings.xml><?xml version="1.0" encoding="utf-8"?>
<sst xmlns="http://schemas.openxmlformats.org/spreadsheetml/2006/main" count="102" uniqueCount="65">
  <si>
    <t>ITEM_ID</t>
  </si>
  <si>
    <t>WRIN_NUM</t>
  </si>
  <si>
    <t>SEGMENT3</t>
  </si>
  <si>
    <t>QUANTITY</t>
  </si>
  <si>
    <t>SUB_CATEGORY</t>
  </si>
  <si>
    <t>CURRENCY_CODE</t>
  </si>
  <si>
    <t>UNIT_PRICE</t>
  </si>
  <si>
    <t>SERVICE_FEE</t>
  </si>
  <si>
    <t>I_COST</t>
  </si>
  <si>
    <t>I_COST_FEE</t>
  </si>
  <si>
    <t>PSI_INV_NUM</t>
  </si>
  <si>
    <t>SSI_INV_NUM</t>
  </si>
  <si>
    <t>OTHERS_INV_NUM</t>
  </si>
  <si>
    <t>IHC_INV_NUM</t>
  </si>
  <si>
    <t>DELIVERY_DATE</t>
  </si>
  <si>
    <t>DELIVERY_NUMBER</t>
  </si>
  <si>
    <t>LINE_NUMBER</t>
  </si>
  <si>
    <t>INVOICE_NUMBER</t>
  </si>
  <si>
    <t>INVOICE_DATE</t>
  </si>
  <si>
    <t>TAX_NUMBER</t>
  </si>
  <si>
    <t>TAX_DATE</t>
  </si>
  <si>
    <t>PO_NO</t>
  </si>
  <si>
    <t>mengecek nota dengan program (kolom ini tidak termasuk export)</t>
  </si>
  <si>
    <t>Direct</t>
  </si>
  <si>
    <t>99353-001</t>
  </si>
  <si>
    <t>36901 (bjb)</t>
  </si>
  <si>
    <t>FOOD NON TAX</t>
  </si>
  <si>
    <t>IDR</t>
  </si>
  <si>
    <t>001/AL/IX/2026</t>
  </si>
  <si>
    <t>MTD211563</t>
  </si>
  <si>
    <t>08002600376239101</t>
  </si>
  <si>
    <t>33001 (bjm)</t>
  </si>
  <si>
    <t>MTD211577</t>
  </si>
  <si>
    <t>08002600376242317</t>
  </si>
  <si>
    <t>MTD211589</t>
  </si>
  <si>
    <t>08002600376235651</t>
  </si>
  <si>
    <t>MTD211594</t>
  </si>
  <si>
    <t>08002600376246614</t>
  </si>
  <si>
    <t>MTD211600</t>
  </si>
  <si>
    <t>08002600376217552</t>
  </si>
  <si>
    <t>CV207461</t>
  </si>
  <si>
    <t>08002600376239128</t>
  </si>
  <si>
    <t>CV207488</t>
  </si>
  <si>
    <t>08002600376228293</t>
  </si>
  <si>
    <t>kosongi, harus isi coretax dlu</t>
  </si>
  <si>
    <t>Berikut tatacara pengisian template paytrax:</t>
  </si>
  <si>
    <t>kolom o,s,u isinya sama , di ambil dari tgl transaksi</t>
  </si>
  <si>
    <t>kosongkan isinya</t>
  </si>
  <si>
    <t xml:space="preserve">1. Kolom yg diberi warna kuning (A,F,H,I,J,L,M,N,O) : tidak perlu diganti </t>
  </si>
  <si>
    <r>
      <t xml:space="preserve">2. Kolom B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</rPr>
      <t xml:space="preserve"> isi sesuai dengan price list dari RNF sesuai dengan product yang dikirimkan</t>
    </r>
  </si>
  <si>
    <r>
      <t xml:space="preserve">3. Kolom C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</rPr>
      <t xml:space="preserve"> isi sesuai dengan kode store dari RNF </t>
    </r>
  </si>
  <si>
    <r>
      <t xml:space="preserve">4. Kolom D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</rPr>
      <t xml:space="preserve"> isi sesuai dengan quantity yang diterima store</t>
    </r>
  </si>
  <si>
    <t>contoh row D2 kenapa jadi dapat 14</t>
  </si>
  <si>
    <r>
      <t xml:space="preserve">5. Kolom E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</rPr>
      <t xml:space="preserve"> isi sesuai dengan type produk</t>
    </r>
  </si>
  <si>
    <r>
      <t>PRODUK TIDAK DIKENAKAN PAJAK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DIISI </t>
    </r>
    <r>
      <rPr>
        <b/>
        <sz val="11"/>
        <color theme="1"/>
        <rFont val="Calibri"/>
        <family val="2"/>
        <scheme val="minor"/>
      </rPr>
      <t>FOOD NON TAX</t>
    </r>
  </si>
  <si>
    <r>
      <t>PRODUK YANG DIKENAKAN PAJAK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DIISI </t>
    </r>
    <r>
      <rPr>
        <b/>
        <sz val="11"/>
        <color theme="1"/>
        <rFont val="Calibri"/>
        <family val="2"/>
        <scheme val="minor"/>
      </rPr>
      <t xml:space="preserve">FOOD </t>
    </r>
  </si>
  <si>
    <r>
      <t xml:space="preserve">6. Kolom G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</rPr>
      <t xml:space="preserve"> isi sesuai dengan price list dari RNF sesuai dengan product yg dikirimkan</t>
    </r>
  </si>
  <si>
    <r>
      <t xml:space="preserve">7. Kolom K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</rPr>
      <t xml:space="preserve"> isi No kuitansi yg akan disubmit ke RNF</t>
    </r>
  </si>
  <si>
    <r>
      <t xml:space="preserve">8. Kolom O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</rPr>
      <t xml:space="preserve"> isi tanggal Surat Jalan </t>
    </r>
  </si>
  <si>
    <r>
      <t xml:space="preserve">9. Kolom P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</rPr>
      <t xml:space="preserve"> isi No Surat Jalan </t>
    </r>
  </si>
  <si>
    <r>
      <t xml:space="preserve">10. Kolom R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</rPr>
      <t xml:space="preserve"> isi No Invoice atau Faktur Penjualan</t>
    </r>
  </si>
  <si>
    <r>
      <t xml:space="preserve">11. Kolom S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</rPr>
      <t xml:space="preserve"> isi Tanggal Invoice</t>
    </r>
  </si>
  <si>
    <r>
      <t xml:space="preserve">12. Kolom T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</rPr>
      <t xml:space="preserve"> isi No Faktur Pajak</t>
    </r>
  </si>
  <si>
    <r>
      <t xml:space="preserve">13. Kolom U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</rPr>
      <t xml:space="preserve"> isi Tanggal Faktur Pajak</t>
    </r>
  </si>
  <si>
    <r>
      <t xml:space="preserve">14. Kolom v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</rPr>
      <t xml:space="preserve"> isi No PO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</si>
</sst>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d\-mmm\-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164" fontId="3" fillId="0" borderId="1" xfId="2" applyNumberFormat="1" applyFont="1" applyBorder="1" applyAlignment="1">
      <alignment horizontal="center" vertical="center"/>
    </xf>
    <xf numFmtId="1" fontId="3" fillId="0" borderId="1" xfId="2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0" fillId="2" borderId="1" xfId="0" applyFill="1" applyBorder="1"/>
    <xf numFmtId="1" fontId="4" fillId="3" borderId="1" xfId="0" quotePrefix="1" applyNumberFormat="1" applyFont="1" applyFill="1" applyBorder="1" applyAlignment="1">
      <alignment horizontal="center" vertical="center"/>
    </xf>
    <xf numFmtId="43" fontId="0" fillId="0" borderId="0" xfId="1" applyFont="1"/>
    <xf numFmtId="1" fontId="5" fillId="3" borderId="1" xfId="0" quotePrefix="1" applyNumberFormat="1" applyFont="1" applyFill="1" applyBorder="1" applyAlignment="1">
      <alignment horizontal="center" vertical="center"/>
    </xf>
    <xf numFmtId="43" fontId="0" fillId="0" borderId="1" xfId="0" applyNumberFormat="1" applyBorder="1"/>
    <xf numFmtId="1" fontId="0" fillId="3" borderId="0" xfId="0" applyNumberFormat="1" applyFill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0" fontId="2" fillId="0" borderId="0" xfId="0" applyFont="1"/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</cellXfs>
  <cellStyles count="3">
    <cellStyle name="Comma" xfId="1" builtinId="3"/>
    <cellStyle name="Normal" xfId="0" builtinId="0"/>
    <cellStyle name="Normal 2" xfId="2" xr:uid="{B240F174-7349-4467-9EAD-C6FC8633F7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59AF1-9102-4270-B03F-E0B5087D6EBE}">
  <dimension ref="A1:W32"/>
  <sheetViews>
    <sheetView tabSelected="1" workbookViewId="0">
      <selection activeCell="J15" sqref="J15"/>
    </sheetView>
  </sheetViews>
  <sheetFormatPr defaultRowHeight="15" x14ac:dyDescent="0.25"/>
  <cols>
    <col min="1" max="1" width="6.5703125" bestFit="1" customWidth="1"/>
    <col min="3" max="3" width="9" bestFit="1" customWidth="1"/>
    <col min="4" max="4" width="8.140625" bestFit="1" customWidth="1"/>
    <col min="5" max="5" width="13.140625" bestFit="1" customWidth="1"/>
    <col min="6" max="6" width="14.85546875" bestFit="1" customWidth="1"/>
    <col min="7" max="7" width="9.85546875" bestFit="1" customWidth="1"/>
    <col min="8" max="8" width="11.140625" bestFit="1" customWidth="1"/>
    <col min="9" max="9" width="6.28515625" bestFit="1" customWidth="1"/>
    <col min="10" max="10" width="10" bestFit="1" customWidth="1"/>
    <col min="11" max="11" width="14.42578125" customWidth="1"/>
    <col min="12" max="12" width="10.7109375" bestFit="1" customWidth="1"/>
    <col min="13" max="13" width="14.7109375" bestFit="1" customWidth="1"/>
    <col min="14" max="14" width="11" bestFit="1" customWidth="1"/>
    <col min="15" max="15" width="13" style="17" bestFit="1" customWidth="1"/>
    <col min="16" max="16" width="15.5703125" bestFit="1" customWidth="1"/>
    <col min="17" max="17" width="11.5703125" bestFit="1" customWidth="1"/>
    <col min="18" max="18" width="14.42578125" bestFit="1" customWidth="1"/>
    <col min="19" max="19" width="11.5703125" style="17" bestFit="1" customWidth="1"/>
    <col min="20" max="20" width="18" style="18" bestFit="1" customWidth="1"/>
    <col min="21" max="21" width="11.85546875" style="17" customWidth="1"/>
    <col min="22" max="22" width="9.85546875" customWidth="1"/>
    <col min="23" max="23" width="17.28515625" customWidth="1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2" t="s">
        <v>15</v>
      </c>
      <c r="Q1" s="1" t="s">
        <v>16</v>
      </c>
      <c r="R1" s="2" t="s">
        <v>17</v>
      </c>
      <c r="S1" s="3" t="s">
        <v>18</v>
      </c>
      <c r="T1" s="4" t="s">
        <v>19</v>
      </c>
      <c r="U1" s="3" t="s">
        <v>20</v>
      </c>
      <c r="V1" s="2" t="s">
        <v>21</v>
      </c>
      <c r="W1" t="s">
        <v>22</v>
      </c>
    </row>
    <row r="2" spans="1:23" x14ac:dyDescent="0.25">
      <c r="A2" s="5" t="s">
        <v>23</v>
      </c>
      <c r="B2" s="6" t="s">
        <v>24</v>
      </c>
      <c r="C2" s="6" t="s">
        <v>25</v>
      </c>
      <c r="D2" s="7">
        <v>14</v>
      </c>
      <c r="E2" s="6" t="s">
        <v>26</v>
      </c>
      <c r="F2" s="5" t="s">
        <v>27</v>
      </c>
      <c r="G2" s="7">
        <v>281250</v>
      </c>
      <c r="H2" s="5"/>
      <c r="I2" s="5"/>
      <c r="J2" s="5"/>
      <c r="K2" s="6" t="s">
        <v>28</v>
      </c>
      <c r="L2" s="5"/>
      <c r="M2" s="5"/>
      <c r="N2" s="5"/>
      <c r="O2" s="8">
        <v>46241</v>
      </c>
      <c r="P2" s="6" t="s">
        <v>29</v>
      </c>
      <c r="Q2" s="9"/>
      <c r="R2" s="6" t="s">
        <v>29</v>
      </c>
      <c r="S2" s="8">
        <v>46241</v>
      </c>
      <c r="T2" s="10" t="s">
        <v>30</v>
      </c>
      <c r="U2" s="8">
        <v>46241</v>
      </c>
      <c r="V2" s="6">
        <v>2232206</v>
      </c>
      <c r="W2" s="11">
        <v>3937500</v>
      </c>
    </row>
    <row r="3" spans="1:23" x14ac:dyDescent="0.25">
      <c r="A3" s="5" t="s">
        <v>23</v>
      </c>
      <c r="B3" s="6" t="s">
        <v>24</v>
      </c>
      <c r="C3" s="6" t="s">
        <v>31</v>
      </c>
      <c r="D3" s="7">
        <v>11</v>
      </c>
      <c r="E3" s="6" t="s">
        <v>26</v>
      </c>
      <c r="F3" s="5" t="s">
        <v>27</v>
      </c>
      <c r="G3" s="7">
        <v>281250</v>
      </c>
      <c r="H3" s="5"/>
      <c r="I3" s="5"/>
      <c r="J3" s="5"/>
      <c r="K3" s="6" t="s">
        <v>28</v>
      </c>
      <c r="L3" s="5"/>
      <c r="M3" s="5"/>
      <c r="N3" s="5"/>
      <c r="O3" s="8">
        <v>46245</v>
      </c>
      <c r="P3" s="6" t="s">
        <v>32</v>
      </c>
      <c r="Q3" s="9"/>
      <c r="R3" s="6" t="s">
        <v>32</v>
      </c>
      <c r="S3" s="8">
        <v>46245</v>
      </c>
      <c r="T3" s="12" t="s">
        <v>33</v>
      </c>
      <c r="U3" s="8">
        <v>46245</v>
      </c>
      <c r="V3" s="6">
        <v>2236310</v>
      </c>
      <c r="W3" s="11">
        <v>3093750</v>
      </c>
    </row>
    <row r="4" spans="1:23" x14ac:dyDescent="0.25">
      <c r="A4" s="5" t="s">
        <v>23</v>
      </c>
      <c r="B4" s="6" t="s">
        <v>24</v>
      </c>
      <c r="C4" s="6">
        <v>36901</v>
      </c>
      <c r="D4" s="7">
        <v>5</v>
      </c>
      <c r="E4" s="6" t="s">
        <v>26</v>
      </c>
      <c r="F4" s="5" t="s">
        <v>27</v>
      </c>
      <c r="G4" s="7">
        <v>281250</v>
      </c>
      <c r="H4" s="5"/>
      <c r="I4" s="5"/>
      <c r="J4" s="5"/>
      <c r="K4" s="6" t="s">
        <v>28</v>
      </c>
      <c r="L4" s="5"/>
      <c r="M4" s="5"/>
      <c r="N4" s="5"/>
      <c r="O4" s="8">
        <v>46248</v>
      </c>
      <c r="P4" s="6" t="s">
        <v>34</v>
      </c>
      <c r="Q4" s="9"/>
      <c r="R4" s="6" t="s">
        <v>34</v>
      </c>
      <c r="S4" s="8">
        <v>46248</v>
      </c>
      <c r="T4" s="12" t="s">
        <v>35</v>
      </c>
      <c r="U4" s="8">
        <v>46248</v>
      </c>
      <c r="V4" s="6">
        <v>2240761</v>
      </c>
      <c r="W4" s="11">
        <v>1406250</v>
      </c>
    </row>
    <row r="5" spans="1:23" x14ac:dyDescent="0.25">
      <c r="A5" s="5" t="s">
        <v>23</v>
      </c>
      <c r="B5" s="6" t="s">
        <v>24</v>
      </c>
      <c r="C5" s="6">
        <v>33001</v>
      </c>
      <c r="D5" s="7">
        <v>20</v>
      </c>
      <c r="E5" s="6" t="s">
        <v>26</v>
      </c>
      <c r="F5" s="5" t="s">
        <v>27</v>
      </c>
      <c r="G5" s="7">
        <v>281250</v>
      </c>
      <c r="H5" s="5"/>
      <c r="I5" s="5"/>
      <c r="J5" s="5"/>
      <c r="K5" s="6" t="s">
        <v>28</v>
      </c>
      <c r="L5" s="5"/>
      <c r="M5" s="5"/>
      <c r="N5" s="5"/>
      <c r="O5" s="8">
        <v>46249</v>
      </c>
      <c r="P5" s="6" t="s">
        <v>36</v>
      </c>
      <c r="Q5" s="9"/>
      <c r="R5" s="6" t="s">
        <v>36</v>
      </c>
      <c r="S5" s="8">
        <v>46249</v>
      </c>
      <c r="T5" s="12" t="s">
        <v>37</v>
      </c>
      <c r="U5" s="8">
        <v>46249</v>
      </c>
      <c r="V5" s="6">
        <v>2243162</v>
      </c>
      <c r="W5" s="11">
        <v>5625000</v>
      </c>
    </row>
    <row r="6" spans="1:23" x14ac:dyDescent="0.25">
      <c r="A6" s="5" t="s">
        <v>23</v>
      </c>
      <c r="B6" s="6" t="s">
        <v>24</v>
      </c>
      <c r="C6" s="6">
        <v>33001</v>
      </c>
      <c r="D6" s="7">
        <v>16</v>
      </c>
      <c r="E6" s="6" t="s">
        <v>26</v>
      </c>
      <c r="F6" s="5" t="s">
        <v>27</v>
      </c>
      <c r="G6" s="7">
        <v>281250</v>
      </c>
      <c r="H6" s="5"/>
      <c r="I6" s="5"/>
      <c r="J6" s="5"/>
      <c r="K6" s="6" t="s">
        <v>28</v>
      </c>
      <c r="L6" s="5"/>
      <c r="M6" s="5"/>
      <c r="N6" s="5"/>
      <c r="O6" s="8">
        <v>46252</v>
      </c>
      <c r="P6" s="6" t="s">
        <v>38</v>
      </c>
      <c r="Q6" s="9"/>
      <c r="R6" s="6" t="s">
        <v>38</v>
      </c>
      <c r="S6" s="8">
        <v>46252</v>
      </c>
      <c r="T6" s="12" t="s">
        <v>39</v>
      </c>
      <c r="U6" s="8">
        <v>46252</v>
      </c>
      <c r="V6" s="6">
        <v>2245127</v>
      </c>
      <c r="W6" s="11">
        <v>4500000</v>
      </c>
    </row>
    <row r="7" spans="1:23" x14ac:dyDescent="0.25">
      <c r="A7" s="5" t="s">
        <v>23</v>
      </c>
      <c r="B7" s="6" t="s">
        <v>24</v>
      </c>
      <c r="C7" s="6">
        <v>36901</v>
      </c>
      <c r="D7" s="7">
        <v>14</v>
      </c>
      <c r="E7" s="6" t="s">
        <v>26</v>
      </c>
      <c r="F7" s="5" t="s">
        <v>27</v>
      </c>
      <c r="G7" s="7">
        <v>281250</v>
      </c>
      <c r="H7" s="5"/>
      <c r="I7" s="5"/>
      <c r="J7" s="5"/>
      <c r="K7" s="6" t="s">
        <v>28</v>
      </c>
      <c r="L7" s="5"/>
      <c r="M7" s="5"/>
      <c r="N7" s="5"/>
      <c r="O7" s="8">
        <v>46255</v>
      </c>
      <c r="P7" s="6" t="s">
        <v>40</v>
      </c>
      <c r="Q7" s="9"/>
      <c r="R7" s="6" t="s">
        <v>40</v>
      </c>
      <c r="S7" s="8">
        <v>46255</v>
      </c>
      <c r="T7" s="12" t="s">
        <v>41</v>
      </c>
      <c r="U7" s="8">
        <v>46255</v>
      </c>
      <c r="V7" s="6">
        <v>2248137</v>
      </c>
      <c r="W7" s="11">
        <v>3937500</v>
      </c>
    </row>
    <row r="8" spans="1:23" x14ac:dyDescent="0.25">
      <c r="A8" s="5" t="s">
        <v>23</v>
      </c>
      <c r="B8" s="6" t="s">
        <v>24</v>
      </c>
      <c r="C8" s="6">
        <v>36901</v>
      </c>
      <c r="D8" s="7">
        <v>4</v>
      </c>
      <c r="E8" s="6" t="s">
        <v>26</v>
      </c>
      <c r="F8" s="5" t="s">
        <v>27</v>
      </c>
      <c r="G8" s="7">
        <v>281250</v>
      </c>
      <c r="H8" s="5"/>
      <c r="I8" s="5"/>
      <c r="J8" s="5"/>
      <c r="K8" s="6" t="s">
        <v>28</v>
      </c>
      <c r="L8" s="5"/>
      <c r="M8" s="5"/>
      <c r="N8" s="5"/>
      <c r="O8" s="8">
        <v>46262</v>
      </c>
      <c r="P8" s="6" t="s">
        <v>42</v>
      </c>
      <c r="Q8" s="9"/>
      <c r="R8" s="6" t="s">
        <v>42</v>
      </c>
      <c r="S8" s="8">
        <v>46262</v>
      </c>
      <c r="T8" s="12" t="s">
        <v>43</v>
      </c>
      <c r="U8" s="8">
        <v>46262</v>
      </c>
      <c r="V8" s="6">
        <v>2267619</v>
      </c>
      <c r="W8" s="11">
        <v>1125000</v>
      </c>
    </row>
    <row r="9" spans="1:23" x14ac:dyDescent="0.25">
      <c r="A9" s="5"/>
      <c r="B9" s="6"/>
      <c r="C9" s="6"/>
      <c r="D9" s="7"/>
      <c r="E9" s="6"/>
      <c r="F9" s="5"/>
      <c r="G9" s="7"/>
      <c r="H9" s="5"/>
      <c r="I9" s="5"/>
      <c r="J9" s="5"/>
      <c r="K9" s="6"/>
      <c r="L9" s="5"/>
      <c r="M9" s="5"/>
      <c r="N9" s="5"/>
      <c r="O9" s="8"/>
      <c r="P9" s="6"/>
      <c r="Q9" s="9"/>
      <c r="R9" s="6"/>
      <c r="S9" s="8"/>
      <c r="T9" s="12" t="s">
        <v>44</v>
      </c>
      <c r="U9" s="8"/>
      <c r="V9" s="6"/>
      <c r="W9" s="11"/>
    </row>
    <row r="10" spans="1:23" x14ac:dyDescent="0.25">
      <c r="A10" s="5"/>
      <c r="B10" s="6"/>
      <c r="C10" s="6"/>
      <c r="D10" s="7"/>
      <c r="E10" s="6"/>
      <c r="F10" s="5"/>
      <c r="G10" s="7"/>
      <c r="H10" s="5"/>
      <c r="I10" s="5"/>
      <c r="J10" s="5"/>
      <c r="K10" s="6"/>
      <c r="L10" s="5"/>
      <c r="M10" s="5"/>
      <c r="N10" s="5"/>
      <c r="O10" s="8"/>
      <c r="P10" s="6"/>
      <c r="Q10" s="9"/>
      <c r="R10" s="6"/>
      <c r="S10" s="8"/>
      <c r="T10" s="12"/>
      <c r="U10" s="8"/>
      <c r="V10" s="6"/>
      <c r="W10" s="11"/>
    </row>
    <row r="11" spans="1:23" x14ac:dyDescent="0.25">
      <c r="A11" s="5"/>
      <c r="B11" s="6"/>
      <c r="C11" s="6"/>
      <c r="D11" s="7"/>
      <c r="E11" s="6"/>
      <c r="F11" s="5"/>
      <c r="G11" s="7"/>
      <c r="H11" s="5"/>
      <c r="I11" s="5"/>
      <c r="J11" s="5"/>
      <c r="K11" s="6"/>
      <c r="L11" s="5"/>
      <c r="M11" s="5"/>
      <c r="N11" s="5"/>
      <c r="O11" s="8"/>
      <c r="P11" s="6"/>
      <c r="Q11" s="9"/>
      <c r="R11" s="6"/>
      <c r="S11" s="8"/>
      <c r="T11" s="12"/>
      <c r="U11" s="8"/>
      <c r="V11" s="6"/>
      <c r="W11" s="11"/>
    </row>
    <row r="12" spans="1:23" x14ac:dyDescent="0.25">
      <c r="A12" s="5"/>
      <c r="B12" s="6"/>
      <c r="C12" s="6"/>
      <c r="D12" s="7"/>
      <c r="E12" s="6"/>
      <c r="F12" s="5"/>
      <c r="G12" s="7"/>
      <c r="H12" s="5"/>
      <c r="I12" s="5"/>
      <c r="J12" s="5"/>
      <c r="K12" s="6"/>
      <c r="L12" s="5"/>
      <c r="M12" s="5"/>
      <c r="N12" s="5"/>
      <c r="O12" s="8"/>
      <c r="P12" s="6"/>
      <c r="Q12" s="9"/>
      <c r="R12" s="8"/>
      <c r="S12" s="8"/>
      <c r="T12" s="10"/>
      <c r="U12" s="8"/>
      <c r="V12" s="13"/>
    </row>
    <row r="13" spans="1:23" x14ac:dyDescent="0.25">
      <c r="A13" s="5"/>
      <c r="B13" s="6"/>
      <c r="C13" s="6"/>
      <c r="D13" s="7"/>
      <c r="E13" s="6"/>
      <c r="F13" s="5"/>
      <c r="G13" s="7"/>
      <c r="H13" s="5"/>
      <c r="I13" s="5"/>
      <c r="J13" s="5"/>
      <c r="K13" s="6"/>
      <c r="L13" s="5"/>
      <c r="M13" s="5"/>
      <c r="N13" s="5"/>
      <c r="O13" s="8"/>
      <c r="P13" s="6"/>
      <c r="Q13" s="9"/>
      <c r="R13" s="8"/>
      <c r="S13" s="8"/>
      <c r="T13" s="14"/>
      <c r="U13" s="8"/>
      <c r="V13" s="15"/>
    </row>
    <row r="14" spans="1:23" x14ac:dyDescent="0.25">
      <c r="A14" s="5"/>
      <c r="B14" s="6"/>
      <c r="C14" s="6"/>
      <c r="D14" s="7"/>
      <c r="E14" s="6"/>
      <c r="F14" s="5"/>
      <c r="G14" s="7"/>
      <c r="H14" s="5"/>
      <c r="I14" s="5"/>
      <c r="J14" s="5"/>
      <c r="K14" s="6"/>
      <c r="L14" s="5"/>
      <c r="M14" s="5"/>
      <c r="N14" s="5"/>
      <c r="O14" s="8"/>
      <c r="P14" s="6"/>
      <c r="Q14" s="9"/>
      <c r="R14" s="8"/>
      <c r="S14" s="8"/>
      <c r="T14" s="10"/>
      <c r="U14" s="8"/>
      <c r="V14" s="16"/>
    </row>
    <row r="16" spans="1:23" x14ac:dyDescent="0.25">
      <c r="A16" s="19" t="s">
        <v>45</v>
      </c>
      <c r="O16" s="17" t="s">
        <v>46</v>
      </c>
      <c r="V16" t="s">
        <v>47</v>
      </c>
    </row>
    <row r="17" spans="1:14" x14ac:dyDescent="0.25">
      <c r="A17" s="20" t="s">
        <v>48</v>
      </c>
      <c r="K17" s="21"/>
    </row>
    <row r="18" spans="1:14" x14ac:dyDescent="0.25">
      <c r="A18" s="20" t="s">
        <v>49</v>
      </c>
      <c r="K18" s="21"/>
      <c r="N18">
        <v>1875</v>
      </c>
    </row>
    <row r="19" spans="1:14" x14ac:dyDescent="0.25">
      <c r="A19" s="20" t="s">
        <v>50</v>
      </c>
      <c r="K19" s="20"/>
      <c r="N19">
        <v>150</v>
      </c>
    </row>
    <row r="20" spans="1:14" x14ac:dyDescent="0.25">
      <c r="A20" s="20" t="s">
        <v>51</v>
      </c>
      <c r="G20">
        <v>2100</v>
      </c>
      <c r="H20">
        <f>G20/150</f>
        <v>14</v>
      </c>
      <c r="I20" t="s">
        <v>52</v>
      </c>
      <c r="N20">
        <f>N18*N19</f>
        <v>281250</v>
      </c>
    </row>
    <row r="21" spans="1:14" x14ac:dyDescent="0.25">
      <c r="A21" s="20" t="s">
        <v>53</v>
      </c>
    </row>
    <row r="22" spans="1:14" x14ac:dyDescent="0.25">
      <c r="A22" s="20"/>
      <c r="B22" t="s">
        <v>54</v>
      </c>
    </row>
    <row r="23" spans="1:14" x14ac:dyDescent="0.25">
      <c r="A23" s="20"/>
      <c r="B23" t="s">
        <v>55</v>
      </c>
    </row>
    <row r="24" spans="1:14" x14ac:dyDescent="0.25">
      <c r="A24" s="20" t="s">
        <v>56</v>
      </c>
      <c r="K24" s="20"/>
    </row>
    <row r="25" spans="1:14" x14ac:dyDescent="0.25">
      <c r="A25" s="20" t="s">
        <v>57</v>
      </c>
    </row>
    <row r="26" spans="1:14" x14ac:dyDescent="0.25">
      <c r="A26" s="20" t="s">
        <v>58</v>
      </c>
    </row>
    <row r="27" spans="1:14" x14ac:dyDescent="0.25">
      <c r="A27" s="20" t="s">
        <v>59</v>
      </c>
    </row>
    <row r="28" spans="1:14" x14ac:dyDescent="0.25">
      <c r="A28" s="20" t="s">
        <v>60</v>
      </c>
      <c r="K28" s="21"/>
    </row>
    <row r="29" spans="1:14" x14ac:dyDescent="0.25">
      <c r="A29" s="20" t="s">
        <v>61</v>
      </c>
    </row>
    <row r="30" spans="1:14" x14ac:dyDescent="0.25">
      <c r="A30" s="20" t="s">
        <v>62</v>
      </c>
    </row>
    <row r="31" spans="1:14" x14ac:dyDescent="0.25">
      <c r="A31" s="20" t="s">
        <v>63</v>
      </c>
    </row>
    <row r="32" spans="1:14" x14ac:dyDescent="0.25">
      <c r="A32" s="2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mf</dc:creator>
  <cp:lastModifiedBy>aldi mf</cp:lastModifiedBy>
  <dcterms:created xsi:type="dcterms:W3CDTF">2026-09-29T01:58:21Z</dcterms:created>
  <dcterms:modified xsi:type="dcterms:W3CDTF">2026-09-29T01:58:50Z</dcterms:modified>
</cp:coreProperties>
</file>